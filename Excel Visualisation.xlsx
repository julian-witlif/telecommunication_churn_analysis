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sh/Desktop/Bewerbung ab 2024 Dezember/Yara_Bewerber_UseCase/"/>
    </mc:Choice>
  </mc:AlternateContent>
  <xr:revisionPtr revIDLastSave="0" documentId="13_ncr:1_{BB39C025-2A9B-7543-B2B4-C07F68C857AE}" xr6:coauthVersionLast="47" xr6:coauthVersionMax="47" xr10:uidLastSave="{00000000-0000-0000-0000-000000000000}"/>
  <bookViews>
    <workbookView xWindow="51200" yWindow="6200" windowWidth="29920" windowHeight="18660" activeTab="1" xr2:uid="{D7F941DE-6D15-3741-B8E2-A17FFCEC00B4}"/>
  </bookViews>
  <sheets>
    <sheet name="stats1" sheetId="1" r:id="rId1"/>
    <sheet name="stats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7" i="1"/>
</calcChain>
</file>

<file path=xl/sharedStrings.xml><?xml version="1.0" encoding="utf-8"?>
<sst xmlns="http://schemas.openxmlformats.org/spreadsheetml/2006/main" count="89" uniqueCount="58">
  <si>
    <t>Month-to-month</t>
  </si>
  <si>
    <t>One year</t>
  </si>
  <si>
    <t>Two year</t>
  </si>
  <si>
    <t>CHURN_RATE</t>
  </si>
  <si>
    <t>COUNT</t>
  </si>
  <si>
    <t>CONTRACT</t>
  </si>
  <si>
    <t>Feature Contrtact</t>
  </si>
  <si>
    <t>DEPENDENTS</t>
  </si>
  <si>
    <t>FALSE</t>
  </si>
  <si>
    <t>TRUE</t>
  </si>
  <si>
    <t>TENURE_RANGE</t>
  </si>
  <si>
    <t>0-12</t>
  </si>
  <si>
    <t>13-24</t>
  </si>
  <si>
    <t>25-36</t>
  </si>
  <si>
    <t>37-48</t>
  </si>
  <si>
    <t>49-60</t>
  </si>
  <si>
    <t>61+</t>
  </si>
  <si>
    <t>CHURN_REASON</t>
  </si>
  <si>
    <t>COUNT(*)</t>
  </si>
  <si>
    <t>Attitude of support person</t>
  </si>
  <si>
    <t>Competitor offered higher download speeds</t>
  </si>
  <si>
    <t>Competitor offered more data</t>
  </si>
  <si>
    <t>Don't know</t>
  </si>
  <si>
    <t>Competitor made better offer</t>
  </si>
  <si>
    <t>Attitude of service provider</t>
  </si>
  <si>
    <t>Competitor had better devices</t>
  </si>
  <si>
    <t>Network reliability</t>
  </si>
  <si>
    <t>Product dissatisfaction</t>
  </si>
  <si>
    <t>Price too high</t>
  </si>
  <si>
    <t>Service dissatisfaction</t>
  </si>
  <si>
    <t>Lack of self-service on Website</t>
  </si>
  <si>
    <t>Extra data charges</t>
  </si>
  <si>
    <t>Moved</t>
  </si>
  <si>
    <t>Lack of affordable download/upload speed</t>
  </si>
  <si>
    <t>Long distance charges</t>
  </si>
  <si>
    <t>Limited range of services</t>
  </si>
  <si>
    <t>Poor expertise of phone support</t>
  </si>
  <si>
    <t>Poor expertise of online support</t>
  </si>
  <si>
    <t>Deceased</t>
  </si>
  <si>
    <t>Feature</t>
  </si>
  <si>
    <t>Wert</t>
  </si>
  <si>
    <t>Churn Rate (%)</t>
  </si>
  <si>
    <t>Senior Citizen</t>
  </si>
  <si>
    <t>No</t>
  </si>
  <si>
    <t>Yes</t>
  </si>
  <si>
    <t>Partner</t>
  </si>
  <si>
    <t>Dependents</t>
  </si>
  <si>
    <t>Phone Service</t>
  </si>
  <si>
    <t>Multiple Lines</t>
  </si>
  <si>
    <t>No phone service</t>
  </si>
  <si>
    <t>Online Security</t>
  </si>
  <si>
    <t>No internet service</t>
  </si>
  <si>
    <t>Online Backup</t>
  </si>
  <si>
    <t>Device Protection</t>
  </si>
  <si>
    <t>Tech Support</t>
  </si>
  <si>
    <t>Streaming TV</t>
  </si>
  <si>
    <t>Streaming Movies</t>
  </si>
  <si>
    <t>Paperless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</si>
</sst>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aseline="0"/>
              <a:t>Churn Rate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stats1!$A$3:$A$5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stats1!$B$3:$B$5</c:f>
              <c:numCache>
                <c:formatCode>General</c:formatCode>
                <c:ptCount val="3"/>
                <c:pt idx="0">
                  <c:v>42.709699999999998</c:v>
                </c:pt>
                <c:pt idx="1">
                  <c:v>11.269500000000001</c:v>
                </c:pt>
                <c:pt idx="2">
                  <c:v>2.8319000000000001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5-7F45-A4F2-91036C70C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165903"/>
        <c:axId val="479167615"/>
      </c:barChart>
      <c:catAx>
        <c:axId val="479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9167615"/>
        <c:crosses val="autoZero"/>
        <c:auto val="1"/>
        <c:lblAlgn val="ctr"/>
        <c:lblOffset val="100"/>
        <c:noMultiLvlLbl val="0"/>
      </c:catAx>
      <c:valAx>
        <c:axId val="47916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aseline="0"/>
                  <a:t>Churn Rate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916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 baseline="0"/>
              <a:t>Churn Rate (%) by Tenure Months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stats1!$B$41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stats1!$A$42:$A$47</c:f>
              <c:strCache>
                <c:ptCount val="6"/>
                <c:pt idx="0">
                  <c:v>0-12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61+</c:v>
                </c:pt>
              </c:strCache>
            </c:strRef>
          </c:cat>
          <c:val>
            <c:numRef>
              <c:f>stats1!$B$42:$B$47</c:f>
              <c:numCache>
                <c:formatCode>General</c:formatCode>
                <c:ptCount val="6"/>
                <c:pt idx="0">
                  <c:v>47.44</c:v>
                </c:pt>
                <c:pt idx="1">
                  <c:v>28.71</c:v>
                </c:pt>
                <c:pt idx="2">
                  <c:v>21.63</c:v>
                </c:pt>
                <c:pt idx="3">
                  <c:v>19.03</c:v>
                </c:pt>
                <c:pt idx="4">
                  <c:v>14.42</c:v>
                </c:pt>
                <c:pt idx="5">
                  <c:v>6.61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A-BB4B-8A03-1460DC577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059616"/>
        <c:axId val="1011224656"/>
      </c:barChart>
      <c:catAx>
        <c:axId val="101105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1224656"/>
        <c:crosses val="autoZero"/>
        <c:auto val="1"/>
        <c:lblAlgn val="ctr"/>
        <c:lblOffset val="100"/>
        <c:noMultiLvlLbl val="0"/>
      </c:catAx>
      <c:valAx>
        <c:axId val="101122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105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stats2!$C$35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stats2!$A$36:$B$66</c:f>
              <c:multiLvlStrCache>
                <c:ptCount val="31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  <c:pt idx="8">
                    <c:v>No</c:v>
                  </c:pt>
                  <c:pt idx="9">
                    <c:v>No phone service</c:v>
                  </c:pt>
                  <c:pt idx="10">
                    <c:v>Yes</c:v>
                  </c:pt>
                  <c:pt idx="11">
                    <c:v>No</c:v>
                  </c:pt>
                  <c:pt idx="12">
                    <c:v>No internet service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No internet service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 internet service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No internet service</c:v>
                  </c:pt>
                  <c:pt idx="22">
                    <c:v>Yes</c:v>
                  </c:pt>
                  <c:pt idx="23">
                    <c:v>No</c:v>
                  </c:pt>
                  <c:pt idx="24">
                    <c:v>No internet service</c:v>
                  </c:pt>
                  <c:pt idx="25">
                    <c:v>Yes</c:v>
                  </c:pt>
                  <c:pt idx="26">
                    <c:v>No</c:v>
                  </c:pt>
                  <c:pt idx="27">
                    <c:v>No internet service</c:v>
                  </c:pt>
                  <c:pt idx="28">
                    <c:v>Yes</c:v>
                  </c:pt>
                  <c:pt idx="29">
                    <c:v>No</c:v>
                  </c:pt>
                  <c:pt idx="30">
                    <c:v>Yes</c:v>
                  </c:pt>
                </c:lvl>
                <c:lvl>
                  <c:pt idx="0">
                    <c:v>Senior Citizen</c:v>
                  </c:pt>
                  <c:pt idx="2">
                    <c:v>Partner</c:v>
                  </c:pt>
                  <c:pt idx="4">
                    <c:v>Dependents</c:v>
                  </c:pt>
                  <c:pt idx="6">
                    <c:v>Phone Service</c:v>
                  </c:pt>
                  <c:pt idx="8">
                    <c:v>Multiple Lines</c:v>
                  </c:pt>
                  <c:pt idx="11">
                    <c:v>Online Security</c:v>
                  </c:pt>
                  <c:pt idx="14">
                    <c:v>Online Backup</c:v>
                  </c:pt>
                  <c:pt idx="17">
                    <c:v>Device Protection</c:v>
                  </c:pt>
                  <c:pt idx="20">
                    <c:v>Tech Support</c:v>
                  </c:pt>
                  <c:pt idx="23">
                    <c:v>Streaming TV</c:v>
                  </c:pt>
                  <c:pt idx="26">
                    <c:v>Streaming Movies</c:v>
                  </c:pt>
                  <c:pt idx="29">
                    <c:v>Paperless Billing</c:v>
                  </c:pt>
                </c:lvl>
              </c:multiLvlStrCache>
            </c:multiLvlStrRef>
          </c:cat>
          <c:val>
            <c:numRef>
              <c:f>stats2!$C$36:$C$66</c:f>
              <c:numCache>
                <c:formatCode>General</c:formatCode>
                <c:ptCount val="31"/>
                <c:pt idx="0">
                  <c:v>23.61</c:v>
                </c:pt>
                <c:pt idx="1">
                  <c:v>41.68</c:v>
                </c:pt>
                <c:pt idx="2">
                  <c:v>32.96</c:v>
                </c:pt>
                <c:pt idx="3">
                  <c:v>19.66</c:v>
                </c:pt>
                <c:pt idx="4">
                  <c:v>32.549999999999997</c:v>
                </c:pt>
                <c:pt idx="5">
                  <c:v>6.52</c:v>
                </c:pt>
                <c:pt idx="6">
                  <c:v>24.93</c:v>
                </c:pt>
                <c:pt idx="7">
                  <c:v>26.71</c:v>
                </c:pt>
                <c:pt idx="8">
                  <c:v>25.04</c:v>
                </c:pt>
                <c:pt idx="9">
                  <c:v>24.93</c:v>
                </c:pt>
                <c:pt idx="10">
                  <c:v>28.61</c:v>
                </c:pt>
                <c:pt idx="11">
                  <c:v>41.77</c:v>
                </c:pt>
                <c:pt idx="12">
                  <c:v>7.4</c:v>
                </c:pt>
                <c:pt idx="13">
                  <c:v>14.61</c:v>
                </c:pt>
                <c:pt idx="14">
                  <c:v>39.93</c:v>
                </c:pt>
                <c:pt idx="15">
                  <c:v>7.4</c:v>
                </c:pt>
                <c:pt idx="16">
                  <c:v>21.53</c:v>
                </c:pt>
                <c:pt idx="17">
                  <c:v>39.130000000000003</c:v>
                </c:pt>
                <c:pt idx="18">
                  <c:v>7.4</c:v>
                </c:pt>
                <c:pt idx="19">
                  <c:v>22.5</c:v>
                </c:pt>
                <c:pt idx="20">
                  <c:v>41.64</c:v>
                </c:pt>
                <c:pt idx="21">
                  <c:v>7.4</c:v>
                </c:pt>
                <c:pt idx="22">
                  <c:v>15.17</c:v>
                </c:pt>
                <c:pt idx="23">
                  <c:v>33.520000000000003</c:v>
                </c:pt>
                <c:pt idx="24">
                  <c:v>7.4</c:v>
                </c:pt>
                <c:pt idx="25">
                  <c:v>30.07</c:v>
                </c:pt>
                <c:pt idx="26">
                  <c:v>33.68</c:v>
                </c:pt>
                <c:pt idx="27">
                  <c:v>7.4</c:v>
                </c:pt>
                <c:pt idx="28">
                  <c:v>29.94</c:v>
                </c:pt>
                <c:pt idx="29">
                  <c:v>16.329999999999998</c:v>
                </c:pt>
                <c:pt idx="30">
                  <c:v>33.57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6-8A48-A8FB-A031803C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477775"/>
        <c:axId val="483305903"/>
      </c:barChart>
      <c:catAx>
        <c:axId val="51547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3305903"/>
        <c:crosses val="autoZero"/>
        <c:auto val="1"/>
        <c:lblAlgn val="ctr"/>
        <c:lblOffset val="100"/>
        <c:noMultiLvlLbl val="0"/>
      </c:catAx>
      <c:valAx>
        <c:axId val="4833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547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/>
              <a:t>Top 10 Most Common 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stats2!$B$4</c:f>
              <c:strCache>
                <c:ptCount val="1"/>
                <c:pt idx="0">
                  <c:v>COUNT(*)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stats2!$A$5:$A$14</c:f>
              <c:strCache>
                <c:ptCount val="10"/>
                <c:pt idx="0">
                  <c:v>Attitude of support person</c:v>
                </c:pt>
                <c:pt idx="1">
                  <c:v>Competitor offered higher download speeds</c:v>
                </c:pt>
                <c:pt idx="2">
                  <c:v>Competitor offered more data</c:v>
                </c:pt>
                <c:pt idx="3">
                  <c:v>Don't know</c:v>
                </c:pt>
                <c:pt idx="4">
                  <c:v>Competitor made better offer</c:v>
                </c:pt>
                <c:pt idx="5">
                  <c:v>Attitude of service provider</c:v>
                </c:pt>
                <c:pt idx="6">
                  <c:v>Competitor had better devices</c:v>
                </c:pt>
                <c:pt idx="7">
                  <c:v>Network reliability</c:v>
                </c:pt>
                <c:pt idx="8">
                  <c:v>Product dissatisfaction</c:v>
                </c:pt>
                <c:pt idx="9">
                  <c:v>Price too high</c:v>
                </c:pt>
              </c:strCache>
            </c:strRef>
          </c:cat>
          <c:val>
            <c:numRef>
              <c:f>stats2!$B$5:$B$14</c:f>
              <c:numCache>
                <c:formatCode>General</c:formatCode>
                <c:ptCount val="10"/>
                <c:pt idx="0">
                  <c:v>192</c:v>
                </c:pt>
                <c:pt idx="1">
                  <c:v>189</c:v>
                </c:pt>
                <c:pt idx="2">
                  <c:v>162</c:v>
                </c:pt>
                <c:pt idx="3">
                  <c:v>154</c:v>
                </c:pt>
                <c:pt idx="4">
                  <c:v>140</c:v>
                </c:pt>
                <c:pt idx="5">
                  <c:v>135</c:v>
                </c:pt>
                <c:pt idx="6">
                  <c:v>130</c:v>
                </c:pt>
                <c:pt idx="7">
                  <c:v>103</c:v>
                </c:pt>
                <c:pt idx="8">
                  <c:v>102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F-E54B-A711-3E0D43859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2886287"/>
        <c:axId val="1019089760"/>
      </c:barChart>
      <c:catAx>
        <c:axId val="7028862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9089760"/>
        <c:crosses val="autoZero"/>
        <c:auto val="1"/>
        <c:lblAlgn val="ctr"/>
        <c:lblOffset val="100"/>
        <c:noMultiLvlLbl val="0"/>
      </c:catAx>
      <c:valAx>
        <c:axId val="10190897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288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821871</xdr:colOff>
      <xdr:row>2</xdr:row>
      <xdr:rowOff>29330</xdr:rowOff>
    </xdr:from>
    <xdr:to>
      <xdr:col>15</xdr:col>
      <xdr:colOff>497417</xdr:colOff>
      <xdr:row>27</xdr:row>
      <xdr:rowOff>158750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32F95112-9E24-04F2-2648-92F725C9E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234346</xdr:colOff>
      <xdr:row>31</xdr:row>
      <xdr:rowOff>179615</xdr:rowOff>
    </xdr:from>
    <xdr:to>
      <xdr:col>16</xdr:col>
      <xdr:colOff>665238</xdr:colOff>
      <xdr:row>61</xdr:row>
      <xdr:rowOff>58966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F9BD115E-EBAF-0CEF-D050-AA9A29898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515938</xdr:colOff>
      <xdr:row>37</xdr:row>
      <xdr:rowOff>160338</xdr:rowOff>
    </xdr:from>
    <xdr:to>
      <xdr:col>16</xdr:col>
      <xdr:colOff>166688</xdr:colOff>
      <xdr:row>69</xdr:row>
      <xdr:rowOff>96838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C3DA35C-44BB-9A5B-70B6-0D4578580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82550</xdr:colOff>
      <xdr:row>0</xdr:row>
      <xdr:rowOff>101600</xdr:rowOff>
    </xdr:from>
    <xdr:to>
      <xdr:col>18</xdr:col>
      <xdr:colOff>533400</xdr:colOff>
      <xdr:row>34</xdr:row>
      <xdr:rowOff>88900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BCA6AD1-0342-AE1D-6F45-B75B26073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2DE117-004F-AF4E-A5CD-8EA1AF3891A1}" name="Tabelle2" displayName="Tabelle2" ref="A2:C5" totalsRowShown="0">
  <autoFilter ref="A2:C5" xr:uid="{F92DE117-004F-AF4E-A5CD-8EA1AF3891A1}"/>
  <tableColumns count="3">
    <tableColumn id="1" xr3:uid="{9C81B457-1926-1A45-AD5E-D6DD2E77BCE2}" name="CONTRACT"/>
    <tableColumn id="2" xr3:uid="{3C6A36BD-3C31-A14E-84AC-9350F4D20464}" name="CHURN_RATE"/>
    <tableColumn id="3" xr3:uid="{2E9D3164-8460-5E4B-93F5-14039E192D06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EF4C-A4E2-2649-B958-29A8A1E0900D}">
  <dimension ref="A1:C47"/>
  <sheetViews>
    <sheetView zoomScale="120" zoomScaleNormal="120" workbookViewId="0">
      <selection activeCell="C35" sqref="C35"/>
    </sheetView>
  </sheetViews>
  <sheetFormatPr baseColWidth="10" defaultRowHeight="16" x14ac:dyDescent="0.2"/>
  <cols>
    <col min="1" max="1" width="22.83203125" customWidth="1"/>
    <col min="2" max="2" width="14.83203125" customWidth="1"/>
  </cols>
  <sheetData>
    <row r="1" spans="1:3" x14ac:dyDescent="0.2">
      <c r="A1" t="s">
        <v>6</v>
      </c>
    </row>
    <row r="2" spans="1:3" x14ac:dyDescent="0.2">
      <c r="A2" t="s">
        <v>5</v>
      </c>
      <c r="B2" t="s">
        <v>3</v>
      </c>
      <c r="C2" t="s">
        <v>4</v>
      </c>
    </row>
    <row r="3" spans="1:3" x14ac:dyDescent="0.2">
      <c r="A3" t="s">
        <v>0</v>
      </c>
      <c r="B3">
        <v>42.709699999999998</v>
      </c>
      <c r="C3">
        <v>3875</v>
      </c>
    </row>
    <row r="4" spans="1:3" x14ac:dyDescent="0.2">
      <c r="A4" t="s">
        <v>1</v>
      </c>
      <c r="B4">
        <v>11.269500000000001</v>
      </c>
      <c r="C4">
        <v>1473</v>
      </c>
    </row>
    <row r="5" spans="1:3" x14ac:dyDescent="0.2">
      <c r="A5" t="s">
        <v>2</v>
      </c>
      <c r="B5">
        <v>2.8319000000000001</v>
      </c>
      <c r="C5">
        <v>1695</v>
      </c>
    </row>
    <row r="26" spans="1:3" x14ac:dyDescent="0.2">
      <c r="A26" t="s">
        <v>7</v>
      </c>
      <c r="B26" t="s">
        <v>3</v>
      </c>
      <c r="C26" t="s">
        <v>4</v>
      </c>
    </row>
    <row r="27" spans="1:3" x14ac:dyDescent="0.2">
      <c r="A27" t="s">
        <v>8</v>
      </c>
      <c r="B27">
        <f>0.3255*100</f>
        <v>32.550000000000004</v>
      </c>
      <c r="C27">
        <v>5416</v>
      </c>
    </row>
    <row r="28" spans="1:3" x14ac:dyDescent="0.2">
      <c r="A28" t="s">
        <v>9</v>
      </c>
      <c r="B28">
        <f>0.0652*100</f>
        <v>6.52</v>
      </c>
      <c r="C28">
        <v>1627</v>
      </c>
    </row>
    <row r="41" spans="1:3" x14ac:dyDescent="0.2">
      <c r="A41" t="s">
        <v>10</v>
      </c>
      <c r="B41" t="s">
        <v>3</v>
      </c>
      <c r="C41" t="s">
        <v>4</v>
      </c>
    </row>
    <row r="42" spans="1:3" x14ac:dyDescent="0.2">
      <c r="A42" t="s">
        <v>11</v>
      </c>
      <c r="B42">
        <v>47.44</v>
      </c>
      <c r="C42">
        <v>2186</v>
      </c>
    </row>
    <row r="43" spans="1:3" x14ac:dyDescent="0.2">
      <c r="A43" t="s">
        <v>12</v>
      </c>
      <c r="B43">
        <v>28.71</v>
      </c>
      <c r="C43">
        <v>1024</v>
      </c>
    </row>
    <row r="44" spans="1:3" x14ac:dyDescent="0.2">
      <c r="A44" t="s">
        <v>13</v>
      </c>
      <c r="B44">
        <v>21.63</v>
      </c>
      <c r="C44">
        <v>832</v>
      </c>
    </row>
    <row r="45" spans="1:3" x14ac:dyDescent="0.2">
      <c r="A45" t="s">
        <v>14</v>
      </c>
      <c r="B45">
        <v>19.03</v>
      </c>
      <c r="C45">
        <v>762</v>
      </c>
    </row>
    <row r="46" spans="1:3" x14ac:dyDescent="0.2">
      <c r="A46" t="s">
        <v>15</v>
      </c>
      <c r="B46">
        <v>14.42</v>
      </c>
      <c r="C46">
        <v>832</v>
      </c>
    </row>
    <row r="47" spans="1:3" x14ac:dyDescent="0.2">
      <c r="A47" t="s">
        <v>16</v>
      </c>
      <c r="B47">
        <v>6.61</v>
      </c>
      <c r="C47">
        <v>1407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6EAD-9136-D940-A788-EC35ED7CFD29}">
  <dimension ref="A4:C66"/>
  <sheetViews>
    <sheetView tabSelected="1" zoomScale="120" zoomScaleNormal="120" workbookViewId="0">
      <selection activeCell="C24" sqref="C24"/>
    </sheetView>
  </sheetViews>
  <sheetFormatPr baseColWidth="10" defaultRowHeight="16" x14ac:dyDescent="0.2"/>
  <cols>
    <col min="1" max="1" width="47.33203125" customWidth="1"/>
    <col min="3" max="3" width="10.83203125" style="2"/>
  </cols>
  <sheetData>
    <row r="4" spans="1:2" x14ac:dyDescent="0.2">
      <c r="A4" t="s">
        <v>17</v>
      </c>
      <c r="B4" t="s">
        <v>18</v>
      </c>
    </row>
    <row r="5" spans="1:2" x14ac:dyDescent="0.2">
      <c r="A5" t="s">
        <v>19</v>
      </c>
      <c r="B5">
        <v>192</v>
      </c>
    </row>
    <row r="6" spans="1:2" x14ac:dyDescent="0.2">
      <c r="A6" t="s">
        <v>20</v>
      </c>
      <c r="B6">
        <v>189</v>
      </c>
    </row>
    <row r="7" spans="1:2" x14ac:dyDescent="0.2">
      <c r="A7" t="s">
        <v>21</v>
      </c>
      <c r="B7">
        <v>162</v>
      </c>
    </row>
    <row r="8" spans="1:2" x14ac:dyDescent="0.2">
      <c r="A8" t="s">
        <v>22</v>
      </c>
      <c r="B8">
        <v>154</v>
      </c>
    </row>
    <row r="9" spans="1:2" x14ac:dyDescent="0.2">
      <c r="A9" t="s">
        <v>23</v>
      </c>
      <c r="B9">
        <v>140</v>
      </c>
    </row>
    <row r="10" spans="1:2" x14ac:dyDescent="0.2">
      <c r="A10" t="s">
        <v>24</v>
      </c>
      <c r="B10">
        <v>135</v>
      </c>
    </row>
    <row r="11" spans="1:2" x14ac:dyDescent="0.2">
      <c r="A11" t="s">
        <v>25</v>
      </c>
      <c r="B11">
        <v>130</v>
      </c>
    </row>
    <row r="12" spans="1:2" x14ac:dyDescent="0.2">
      <c r="A12" t="s">
        <v>26</v>
      </c>
      <c r="B12">
        <v>103</v>
      </c>
    </row>
    <row r="13" spans="1:2" x14ac:dyDescent="0.2">
      <c r="A13" t="s">
        <v>27</v>
      </c>
      <c r="B13">
        <v>102</v>
      </c>
    </row>
    <row r="14" spans="1:2" x14ac:dyDescent="0.2">
      <c r="A14" t="s">
        <v>28</v>
      </c>
      <c r="B14">
        <v>98</v>
      </c>
    </row>
    <row r="15" spans="1:2" x14ac:dyDescent="0.2">
      <c r="A15" t="s">
        <v>29</v>
      </c>
      <c r="B15">
        <v>89</v>
      </c>
    </row>
    <row r="16" spans="1:2" x14ac:dyDescent="0.2">
      <c r="A16" t="s">
        <v>30</v>
      </c>
      <c r="B16">
        <v>88</v>
      </c>
    </row>
    <row r="17" spans="1:2" x14ac:dyDescent="0.2">
      <c r="A17" t="s">
        <v>31</v>
      </c>
      <c r="B17">
        <v>57</v>
      </c>
    </row>
    <row r="18" spans="1:2" x14ac:dyDescent="0.2">
      <c r="A18" t="s">
        <v>32</v>
      </c>
      <c r="B18">
        <v>53</v>
      </c>
    </row>
    <row r="19" spans="1:2" x14ac:dyDescent="0.2">
      <c r="A19" t="s">
        <v>33</v>
      </c>
      <c r="B19">
        <v>44</v>
      </c>
    </row>
    <row r="20" spans="1:2" x14ac:dyDescent="0.2">
      <c r="A20" t="s">
        <v>34</v>
      </c>
      <c r="B20">
        <v>44</v>
      </c>
    </row>
    <row r="21" spans="1:2" x14ac:dyDescent="0.2">
      <c r="A21" t="s">
        <v>35</v>
      </c>
      <c r="B21">
        <v>44</v>
      </c>
    </row>
    <row r="22" spans="1:2" x14ac:dyDescent="0.2">
      <c r="A22" t="s">
        <v>36</v>
      </c>
      <c r="B22">
        <v>20</v>
      </c>
    </row>
    <row r="23" spans="1:2" x14ac:dyDescent="0.2">
      <c r="A23" t="s">
        <v>37</v>
      </c>
      <c r="B23">
        <v>19</v>
      </c>
    </row>
    <row r="24" spans="1:2" x14ac:dyDescent="0.2">
      <c r="A24" t="s">
        <v>38</v>
      </c>
      <c r="B24">
        <v>6</v>
      </c>
    </row>
    <row r="35" spans="1:3" x14ac:dyDescent="0.2">
      <c r="A35" s="1" t="s">
        <v>39</v>
      </c>
      <c r="B35" s="1" t="s">
        <v>40</v>
      </c>
      <c r="C35" s="1" t="s">
        <v>41</v>
      </c>
    </row>
    <row r="36" spans="1:3" x14ac:dyDescent="0.2">
      <c r="A36" s="1" t="s">
        <v>42</v>
      </c>
      <c r="B36" t="s">
        <v>43</v>
      </c>
      <c r="C36">
        <v>23.61</v>
      </c>
    </row>
    <row r="37" spans="1:3" x14ac:dyDescent="0.2">
      <c r="B37" t="s">
        <v>44</v>
      </c>
      <c r="C37">
        <v>41.68</v>
      </c>
    </row>
    <row r="38" spans="1:3" x14ac:dyDescent="0.2">
      <c r="A38" s="1" t="s">
        <v>45</v>
      </c>
      <c r="B38" t="s">
        <v>43</v>
      </c>
      <c r="C38">
        <v>32.96</v>
      </c>
    </row>
    <row r="39" spans="1:3" x14ac:dyDescent="0.2">
      <c r="B39" t="s">
        <v>44</v>
      </c>
      <c r="C39">
        <v>19.66</v>
      </c>
    </row>
    <row r="40" spans="1:3" x14ac:dyDescent="0.2">
      <c r="A40" s="1" t="s">
        <v>46</v>
      </c>
      <c r="B40" t="s">
        <v>43</v>
      </c>
      <c r="C40">
        <v>32.549999999999997</v>
      </c>
    </row>
    <row r="41" spans="1:3" x14ac:dyDescent="0.2">
      <c r="B41" t="s">
        <v>44</v>
      </c>
      <c r="C41">
        <v>6.52</v>
      </c>
    </row>
    <row r="42" spans="1:3" x14ac:dyDescent="0.2">
      <c r="A42" s="1" t="s">
        <v>47</v>
      </c>
      <c r="B42" t="s">
        <v>43</v>
      </c>
      <c r="C42">
        <v>24.93</v>
      </c>
    </row>
    <row r="43" spans="1:3" x14ac:dyDescent="0.2">
      <c r="B43" t="s">
        <v>44</v>
      </c>
      <c r="C43">
        <v>26.71</v>
      </c>
    </row>
    <row r="44" spans="1:3" x14ac:dyDescent="0.2">
      <c r="A44" s="1" t="s">
        <v>48</v>
      </c>
      <c r="B44" t="s">
        <v>43</v>
      </c>
      <c r="C44">
        <v>25.04</v>
      </c>
    </row>
    <row r="45" spans="1:3" x14ac:dyDescent="0.2">
      <c r="B45" t="s">
        <v>49</v>
      </c>
      <c r="C45">
        <v>24.93</v>
      </c>
    </row>
    <row r="46" spans="1:3" x14ac:dyDescent="0.2">
      <c r="B46" t="s">
        <v>44</v>
      </c>
      <c r="C46">
        <v>28.61</v>
      </c>
    </row>
    <row r="47" spans="1:3" x14ac:dyDescent="0.2">
      <c r="A47" s="1" t="s">
        <v>50</v>
      </c>
      <c r="B47" t="s">
        <v>43</v>
      </c>
      <c r="C47">
        <v>41.77</v>
      </c>
    </row>
    <row r="48" spans="1:3" x14ac:dyDescent="0.2">
      <c r="B48" t="s">
        <v>51</v>
      </c>
      <c r="C48">
        <v>7.4</v>
      </c>
    </row>
    <row r="49" spans="1:3" x14ac:dyDescent="0.2">
      <c r="B49" t="s">
        <v>44</v>
      </c>
      <c r="C49">
        <v>14.61</v>
      </c>
    </row>
    <row r="50" spans="1:3" x14ac:dyDescent="0.2">
      <c r="A50" s="1" t="s">
        <v>52</v>
      </c>
      <c r="B50" t="s">
        <v>43</v>
      </c>
      <c r="C50">
        <v>39.93</v>
      </c>
    </row>
    <row r="51" spans="1:3" x14ac:dyDescent="0.2">
      <c r="B51" t="s">
        <v>51</v>
      </c>
      <c r="C51">
        <v>7.4</v>
      </c>
    </row>
    <row r="52" spans="1:3" x14ac:dyDescent="0.2">
      <c r="B52" t="s">
        <v>44</v>
      </c>
      <c r="C52">
        <v>21.53</v>
      </c>
    </row>
    <row r="53" spans="1:3" x14ac:dyDescent="0.2">
      <c r="A53" s="1" t="s">
        <v>53</v>
      </c>
      <c r="B53" t="s">
        <v>43</v>
      </c>
      <c r="C53">
        <v>39.130000000000003</v>
      </c>
    </row>
    <row r="54" spans="1:3" x14ac:dyDescent="0.2">
      <c r="B54" t="s">
        <v>51</v>
      </c>
      <c r="C54">
        <v>7.4</v>
      </c>
    </row>
    <row r="55" spans="1:3" x14ac:dyDescent="0.2">
      <c r="B55" t="s">
        <v>44</v>
      </c>
      <c r="C55">
        <v>22.5</v>
      </c>
    </row>
    <row r="56" spans="1:3" x14ac:dyDescent="0.2">
      <c r="A56" s="1" t="s">
        <v>54</v>
      </c>
      <c r="B56" t="s">
        <v>43</v>
      </c>
      <c r="C56">
        <v>41.64</v>
      </c>
    </row>
    <row r="57" spans="1:3" x14ac:dyDescent="0.2">
      <c r="B57" t="s">
        <v>51</v>
      </c>
      <c r="C57">
        <v>7.4</v>
      </c>
    </row>
    <row r="58" spans="1:3" x14ac:dyDescent="0.2">
      <c r="B58" t="s">
        <v>44</v>
      </c>
      <c r="C58">
        <v>15.17</v>
      </c>
    </row>
    <row r="59" spans="1:3" x14ac:dyDescent="0.2">
      <c r="A59" s="1" t="s">
        <v>55</v>
      </c>
      <c r="B59" t="s">
        <v>43</v>
      </c>
      <c r="C59">
        <v>33.520000000000003</v>
      </c>
    </row>
    <row r="60" spans="1:3" x14ac:dyDescent="0.2">
      <c r="B60" t="s">
        <v>51</v>
      </c>
      <c r="C60">
        <v>7.4</v>
      </c>
    </row>
    <row r="61" spans="1:3" x14ac:dyDescent="0.2">
      <c r="B61" t="s">
        <v>44</v>
      </c>
      <c r="C61">
        <v>30.07</v>
      </c>
    </row>
    <row r="62" spans="1:3" x14ac:dyDescent="0.2">
      <c r="A62" s="1" t="s">
        <v>56</v>
      </c>
      <c r="B62" t="s">
        <v>43</v>
      </c>
      <c r="C62">
        <v>33.68</v>
      </c>
    </row>
    <row r="63" spans="1:3" x14ac:dyDescent="0.2">
      <c r="B63" t="s">
        <v>51</v>
      </c>
      <c r="C63">
        <v>7.4</v>
      </c>
    </row>
    <row r="64" spans="1:3" x14ac:dyDescent="0.2">
      <c r="B64" t="s">
        <v>44</v>
      </c>
      <c r="C64">
        <v>29.94</v>
      </c>
    </row>
    <row r="65" spans="1:3" x14ac:dyDescent="0.2">
      <c r="A65" s="1" t="s">
        <v>57</v>
      </c>
      <c r="B65" t="s">
        <v>43</v>
      </c>
      <c r="C65">
        <v>16.329999999999998</v>
      </c>
    </row>
    <row r="66" spans="1:3" x14ac:dyDescent="0.2">
      <c r="B66" t="s">
        <v>44</v>
      </c>
      <c r="C66">
        <v>33.57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stats1</vt:lpstr>
      <vt:lpstr>stats2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Witlif</dc:creator>
  <cp:lastModifiedBy>Julian Witlif</cp:lastModifiedBy>
  <dcterms:created xsi:type="dcterms:W3CDTF">2025-12-01T14:11:20Z</dcterms:created>
  <dcterms:modified xsi:type="dcterms:W3CDTF">2025-12-03T09:08:17Z</dcterms:modified>
</cp:coreProperties>
</file>